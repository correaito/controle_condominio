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Alan\Desktop\Condominio\"/>
    </mc:Choice>
  </mc:AlternateContent>
  <bookViews>
    <workbookView xWindow="0" yWindow="0" windowWidth="15345" windowHeight="4545"/>
  </bookViews>
  <sheets>
    <sheet name="Faturas" sheetId="2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" i="2" l="1"/>
  <c r="F50" i="2"/>
  <c r="F22" i="2"/>
  <c r="F21" i="2"/>
  <c r="F20" i="2"/>
  <c r="F19" i="2"/>
  <c r="F18" i="2"/>
  <c r="F17" i="2"/>
  <c r="F16" i="2"/>
  <c r="F15" i="2"/>
  <c r="F14" i="2"/>
  <c r="F138" i="2"/>
  <c r="F137" i="2"/>
  <c r="F136" i="2"/>
  <c r="F135" i="2"/>
  <c r="F134" i="2"/>
  <c r="F133" i="2"/>
  <c r="F132" i="2"/>
  <c r="F131" i="2"/>
  <c r="F130" i="2"/>
  <c r="E137" i="2"/>
  <c r="E136" i="2"/>
  <c r="E135" i="2"/>
  <c r="E134" i="2"/>
  <c r="E133" i="2"/>
  <c r="E132" i="2"/>
  <c r="E131" i="2"/>
  <c r="E130" i="2"/>
  <c r="F122" i="2"/>
  <c r="F121" i="2"/>
  <c r="C126" i="2"/>
  <c r="C138" i="2"/>
  <c r="C137" i="2"/>
  <c r="C136" i="2"/>
  <c r="C135" i="2"/>
  <c r="C134" i="2"/>
  <c r="C133" i="2"/>
  <c r="C132" i="2"/>
  <c r="C131" i="2"/>
  <c r="C130" i="2"/>
  <c r="F109" i="2"/>
  <c r="F108" i="2"/>
  <c r="F107" i="2"/>
  <c r="F106" i="2"/>
  <c r="F105" i="2"/>
  <c r="F104" i="2"/>
  <c r="F103" i="2"/>
  <c r="F102" i="2"/>
  <c r="F101" i="2"/>
  <c r="E108" i="2"/>
  <c r="E107" i="2"/>
  <c r="E106" i="2"/>
  <c r="E105" i="2"/>
  <c r="E104" i="2"/>
  <c r="E103" i="2"/>
  <c r="E102" i="2"/>
  <c r="E101" i="2"/>
  <c r="C109" i="2"/>
  <c r="C108" i="2"/>
  <c r="C107" i="2"/>
  <c r="C106" i="2"/>
  <c r="C105" i="2"/>
  <c r="C104" i="2"/>
  <c r="C103" i="2"/>
  <c r="C102" i="2"/>
  <c r="C101" i="2"/>
  <c r="C97" i="2"/>
  <c r="F93" i="2"/>
  <c r="F92" i="2"/>
  <c r="F80" i="2"/>
  <c r="F79" i="2"/>
  <c r="F78" i="2"/>
  <c r="F77" i="2"/>
  <c r="F76" i="2"/>
  <c r="F75" i="2"/>
  <c r="F74" i="2"/>
  <c r="F73" i="2"/>
  <c r="F72" i="2"/>
  <c r="E79" i="2"/>
  <c r="E78" i="2"/>
  <c r="E77" i="2"/>
  <c r="E76" i="2"/>
  <c r="E75" i="2"/>
  <c r="E74" i="2"/>
  <c r="E73" i="2"/>
  <c r="E72" i="2"/>
  <c r="C80" i="2"/>
  <c r="C79" i="2"/>
  <c r="C78" i="2"/>
  <c r="C77" i="2"/>
  <c r="C76" i="2"/>
  <c r="C75" i="2"/>
  <c r="C74" i="2"/>
  <c r="C73" i="2"/>
  <c r="C72" i="2"/>
  <c r="C68" i="2"/>
  <c r="F64" i="2"/>
  <c r="F63" i="2"/>
  <c r="F49" i="2"/>
  <c r="F48" i="2"/>
  <c r="F47" i="2"/>
  <c r="F46" i="2"/>
  <c r="F45" i="2"/>
  <c r="F44" i="2"/>
  <c r="F43" i="2"/>
  <c r="E50" i="2"/>
  <c r="E49" i="2"/>
  <c r="E48" i="2"/>
  <c r="E47" i="2"/>
  <c r="E46" i="2"/>
  <c r="E45" i="2"/>
  <c r="E44" i="2"/>
  <c r="E43" i="2"/>
  <c r="C51" i="2"/>
  <c r="C50" i="2"/>
  <c r="C49" i="2"/>
  <c r="C48" i="2"/>
  <c r="C47" i="2"/>
  <c r="C46" i="2"/>
  <c r="C45" i="2"/>
  <c r="C44" i="2"/>
  <c r="C43" i="2"/>
  <c r="C39" i="2"/>
  <c r="F35" i="2"/>
  <c r="F34" i="2"/>
  <c r="C10" i="2"/>
  <c r="E21" i="2"/>
  <c r="E20" i="2"/>
  <c r="E19" i="2"/>
  <c r="E18" i="2"/>
  <c r="E17" i="2"/>
  <c r="E16" i="2"/>
  <c r="E15" i="2"/>
  <c r="E14" i="2"/>
  <c r="C22" i="2"/>
  <c r="C21" i="2"/>
  <c r="C20" i="2"/>
  <c r="C19" i="2"/>
  <c r="C18" i="2"/>
  <c r="C17" i="2"/>
  <c r="C16" i="2"/>
  <c r="C15" i="2"/>
  <c r="C14" i="2"/>
  <c r="F6" i="2"/>
  <c r="F5" i="2"/>
  <c r="F139" i="2" l="1"/>
  <c r="F142" i="2" s="1"/>
  <c r="F81" i="2"/>
  <c r="F84" i="2" s="1"/>
  <c r="F110" i="2"/>
  <c r="F113" i="2" s="1"/>
  <c r="F52" i="2"/>
  <c r="F55" i="2" s="1"/>
  <c r="F23" i="2"/>
  <c r="F26" i="2" s="1"/>
  <c r="F120" i="2"/>
  <c r="F91" i="2"/>
  <c r="F62" i="2"/>
  <c r="F33" i="2"/>
  <c r="F4" i="2"/>
</calcChain>
</file>

<file path=xl/sharedStrings.xml><?xml version="1.0" encoding="utf-8"?>
<sst xmlns="http://schemas.openxmlformats.org/spreadsheetml/2006/main" count="100" uniqueCount="20">
  <si>
    <t xml:space="preserve">           Edifício Guanabara</t>
  </si>
  <si>
    <t>Data doc:</t>
  </si>
  <si>
    <t>Competência:</t>
  </si>
  <si>
    <t>Referente a:</t>
  </si>
  <si>
    <t>DESCRIÇÃO</t>
  </si>
  <si>
    <t>VALOR</t>
  </si>
  <si>
    <t>SUBTOTAL</t>
  </si>
  <si>
    <t>Visto de Pagamento:</t>
  </si>
  <si>
    <t>IMPOSTO</t>
  </si>
  <si>
    <t>OUTROS</t>
  </si>
  <si>
    <t>TOTAL</t>
  </si>
  <si>
    <t>Condômino:</t>
  </si>
  <si>
    <t>Apartamento:</t>
  </si>
  <si>
    <t>DATA</t>
  </si>
  <si>
    <t>Despesas das áreas de uso comum</t>
  </si>
  <si>
    <t>FATURA</t>
  </si>
  <si>
    <t>Rua das Flores, 000</t>
  </si>
  <si>
    <t>Rio das Ostas, Ilha da Fantasia. CEP 00000-000</t>
  </si>
  <si>
    <t>Telefone (00) 00000-0000</t>
  </si>
  <si>
    <t>Nome do Sindico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</si>
</sst>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&quot;R$&quot;\ * #,##0.00_-;\-&quot;R$&quot;\ * #,##0.00_-;_-&quot;R$&quot;\ * &quot;-&quot;??_-;_-@_-"/>
    <numFmt numFmtId="164" formatCode="_-&quot;R$&quot;\ * #,##0.00_-;\-&quot;R$&quot;\ * #,##0.00_-;_-&quot;R$&quot;\ * &quot;-&quot;??_-;_-@"/>
    <numFmt numFmtId="165" formatCode="_-[$R$-416]* #,##0.00_-;\-[$R$-416]* #,##0.00_-;_-[$R$-416]* &quot;-&quot;??_-;_-@"/>
    <numFmt numFmtId="166" formatCode="@\ \ "/>
    <numFmt numFmtId="167" formatCode="_([$R$ -416]* #,##0.00_);_([$R$ -416]* \(#,##0.00\);_([$R$ -416]* &quot;-&quot;??_);_(@_)"/>
    <numFmt numFmtId="168" formatCode="_(* #,##0.00_);_(* \(#,##0.00\);_(* &quot;-&quot;??_);_(@_)"/>
    <numFmt numFmtId="169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28"/>
      <color rgb="FF808080"/>
      <name val="Arial Black"/>
      <family val="2"/>
    </font>
    <font>
      <sz val="28"/>
      <color rgb="FF80808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60">
    <xf numFmtId="0" fontId="0" fillId="0" borderId="0" xfId="0"/>
    <xf numFmtId="0" fontId="1" fillId="2" borderId="0" xfId="0" applyFont="1" applyFill="1" applyBorder="1"/>
    <xf numFmtId="0" fontId="0" fillId="2" borderId="0" xfId="0" applyFont="1" applyFill="1" applyBorder="1"/>
    <xf numFmtId="0" fontId="1" fillId="2" borderId="1" xfId="0" applyFont="1" applyFill="1" applyBorder="1"/>
    <xf numFmtId="0" fontId="2" fillId="2" borderId="2" xfId="0" applyFont="1" applyFill="1" applyBorder="1"/>
    <xf numFmtId="0" fontId="1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1" fillId="2" borderId="3" xfId="0" applyFont="1" applyFill="1" applyBorder="1"/>
    <xf numFmtId="0" fontId="1" fillId="2" borderId="4" xfId="0" applyFont="1" applyFill="1" applyBorder="1"/>
    <xf numFmtId="0" fontId="2" fillId="2" borderId="0" xfId="0" applyFont="1" applyFill="1" applyBorder="1"/>
    <xf numFmtId="0" fontId="4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5" fillId="2" borderId="0" xfId="0" applyFont="1" applyFill="1" applyBorder="1" applyAlignment="1">
      <alignment horizontal="right"/>
    </xf>
    <xf numFmtId="14" fontId="1" fillId="2" borderId="0" xfId="0" applyNumberFormat="1" applyFont="1" applyFill="1" applyBorder="1" applyAlignment="1">
      <alignment horizontal="left"/>
    </xf>
    <xf numFmtId="0" fontId="5" fillId="2" borderId="0" xfId="0" applyFont="1" applyFill="1" applyBorder="1"/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166" fontId="1" fillId="2" borderId="0" xfId="0" applyNumberFormat="1" applyFont="1" applyFill="1" applyBorder="1" applyAlignment="1">
      <alignment horizontal="right" vertical="center"/>
    </xf>
    <xf numFmtId="167" fontId="1" fillId="2" borderId="9" xfId="0" applyNumberFormat="1" applyFont="1" applyFill="1" applyBorder="1" applyAlignment="1">
      <alignment horizontal="right" vertical="center"/>
    </xf>
    <xf numFmtId="10" fontId="1" fillId="2" borderId="9" xfId="0" applyNumberFormat="1" applyFont="1" applyFill="1" applyBorder="1" applyAlignment="1">
      <alignment horizontal="right" vertical="center"/>
    </xf>
    <xf numFmtId="168" fontId="1" fillId="2" borderId="9" xfId="0" applyNumberFormat="1" applyFont="1" applyFill="1" applyBorder="1" applyAlignment="1">
      <alignment horizontal="right" vertical="center"/>
    </xf>
    <xf numFmtId="0" fontId="1" fillId="2" borderId="10" xfId="0" applyFont="1" applyFill="1" applyBorder="1" applyAlignment="1">
      <alignment vertical="center"/>
    </xf>
    <xf numFmtId="166" fontId="5" fillId="2" borderId="0" xfId="0" applyNumberFormat="1" applyFont="1" applyFill="1" applyBorder="1" applyAlignment="1">
      <alignment horizontal="right" vertical="center"/>
    </xf>
    <xf numFmtId="167" fontId="5" fillId="2" borderId="9" xfId="0" applyNumberFormat="1" applyFont="1" applyFill="1" applyBorder="1" applyAlignment="1">
      <alignment horizontal="right" vertical="center"/>
    </xf>
    <xf numFmtId="0" fontId="1" fillId="2" borderId="0" xfId="0" applyFont="1" applyFill="1" applyBorder="1" applyAlignment="1">
      <alignment horizontal="center"/>
    </xf>
    <xf numFmtId="0" fontId="1" fillId="2" borderId="11" xfId="0" applyFont="1" applyFill="1" applyBorder="1"/>
    <xf numFmtId="0" fontId="0" fillId="2" borderId="10" xfId="0" applyFont="1" applyFill="1" applyBorder="1"/>
    <xf numFmtId="0" fontId="1" fillId="2" borderId="12" xfId="0" applyFont="1" applyFill="1" applyBorder="1"/>
    <xf numFmtId="0" fontId="7" fillId="2" borderId="0" xfId="0" applyFont="1" applyFill="1" applyBorder="1"/>
    <xf numFmtId="0" fontId="0" fillId="0" borderId="0" xfId="0" applyFont="1" applyAlignment="1"/>
    <xf numFmtId="0" fontId="7" fillId="2" borderId="0" xfId="0" applyFont="1" applyFill="1" applyBorder="1" applyAlignment="1">
      <alignment horizontal="left"/>
    </xf>
    <xf numFmtId="49" fontId="7" fillId="2" borderId="0" xfId="0" applyNumberFormat="1" applyFont="1" applyFill="1" applyBorder="1"/>
    <xf numFmtId="0" fontId="6" fillId="2" borderId="0" xfId="0" applyFont="1" applyFill="1" applyBorder="1"/>
    <xf numFmtId="0" fontId="6" fillId="2" borderId="0" xfId="0" applyFont="1" applyFill="1" applyBorder="1" applyAlignment="1">
      <alignment horizontal="left"/>
    </xf>
    <xf numFmtId="0" fontId="6" fillId="2" borderId="0" xfId="0" applyNumberFormat="1" applyFont="1" applyFill="1" applyBorder="1" applyAlignment="1">
      <alignment horizontal="left"/>
    </xf>
    <xf numFmtId="17" fontId="6" fillId="2" borderId="0" xfId="0" applyNumberFormat="1" applyFont="1" applyFill="1" applyBorder="1" applyAlignment="1">
      <alignment horizontal="left"/>
    </xf>
    <xf numFmtId="0" fontId="7" fillId="2" borderId="7" xfId="0" applyFont="1" applyFill="1" applyBorder="1" applyAlignment="1">
      <alignment horizontal="center" vertical="center"/>
    </xf>
    <xf numFmtId="0" fontId="1" fillId="2" borderId="14" xfId="0" applyFont="1" applyFill="1" applyBorder="1"/>
    <xf numFmtId="0" fontId="7" fillId="2" borderId="16" xfId="0" applyFont="1" applyFill="1" applyBorder="1" applyAlignment="1">
      <alignment horizontal="center" vertical="center"/>
    </xf>
    <xf numFmtId="17" fontId="6" fillId="2" borderId="13" xfId="0" applyNumberFormat="1" applyFont="1" applyFill="1" applyBorder="1" applyAlignment="1">
      <alignment horizontal="center" vertical="center"/>
    </xf>
    <xf numFmtId="17" fontId="6" fillId="2" borderId="16" xfId="0" applyNumberFormat="1" applyFont="1" applyFill="1" applyBorder="1" applyAlignment="1">
      <alignment horizontal="center" vertical="center"/>
    </xf>
    <xf numFmtId="17" fontId="6" fillId="2" borderId="8" xfId="0" applyNumberFormat="1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4" fontId="6" fillId="0" borderId="13" xfId="0" applyNumberFormat="1" applyFont="1" applyBorder="1"/>
    <xf numFmtId="165" fontId="6" fillId="2" borderId="16" xfId="0" applyNumberFormat="1" applyFont="1" applyFill="1" applyBorder="1" applyAlignment="1">
      <alignment horizontal="left" vertical="center"/>
    </xf>
    <xf numFmtId="164" fontId="6" fillId="2" borderId="16" xfId="0" applyNumberFormat="1" applyFont="1" applyFill="1" applyBorder="1"/>
    <xf numFmtId="164" fontId="1" fillId="2" borderId="16" xfId="0" applyNumberFormat="1" applyFont="1" applyFill="1" applyBorder="1"/>
    <xf numFmtId="164" fontId="1" fillId="2" borderId="8" xfId="0" applyNumberFormat="1" applyFont="1" applyFill="1" applyBorder="1"/>
    <xf numFmtId="169" fontId="6" fillId="0" borderId="13" xfId="1" applyNumberFormat="1" applyFont="1" applyBorder="1"/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5" fillId="2" borderId="21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0" fillId="3" borderId="16" xfId="0" applyFill="1" applyBorder="1" applyAlignment="1">
      <alignment horizontal="left"/>
    </xf>
    <xf numFmtId="0" fontId="0" fillId="3" borderId="19" xfId="0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0" fontId="5" fillId="2" borderId="17" xfId="0" applyFont="1" applyFill="1" applyBorder="1" applyAlignment="1">
      <alignment horizontal="center" vertical="center"/>
    </xf>
    <xf numFmtId="0" fontId="0" fillId="0" borderId="18" xfId="0" applyBorder="1" applyAlignme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1</xdr:row>
      <xdr:rowOff>57150</xdr:rowOff>
    </xdr:from>
    <xdr:ext cx="885825" cy="657225"/>
    <xdr:pic>
      <xdr:nvPicPr>
        <xdr:cNvPr id="5" name="image1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450" y="190500"/>
          <a:ext cx="885825" cy="6572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30</xdr:row>
      <xdr:rowOff>57150</xdr:rowOff>
    </xdr:from>
    <xdr:ext cx="885825" cy="657225"/>
    <xdr:pic>
      <xdr:nvPicPr>
        <xdr:cNvPr id="41" name="image1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450" y="190500"/>
          <a:ext cx="885825" cy="6572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59</xdr:row>
      <xdr:rowOff>57150</xdr:rowOff>
    </xdr:from>
    <xdr:ext cx="885825" cy="657225"/>
    <xdr:pic>
      <xdr:nvPicPr>
        <xdr:cNvPr id="42" name="image1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450" y="190500"/>
          <a:ext cx="885825" cy="6572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88</xdr:row>
      <xdr:rowOff>57150</xdr:rowOff>
    </xdr:from>
    <xdr:ext cx="885825" cy="657225"/>
    <xdr:pic>
      <xdr:nvPicPr>
        <xdr:cNvPr id="43" name="image1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450" y="190500"/>
          <a:ext cx="885825" cy="657225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19050</xdr:colOff>
      <xdr:row>117</xdr:row>
      <xdr:rowOff>57150</xdr:rowOff>
    </xdr:from>
    <xdr:ext cx="885825" cy="657225"/>
    <xdr:pic>
      <xdr:nvPicPr>
        <xdr:cNvPr id="44" name="image1.png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71450" y="190500"/>
          <a:ext cx="885825" cy="657225"/>
        </a:xfrm>
        <a:prstGeom prst="rect">
          <a:avLst/>
        </a:prstGeom>
        <a:noFill/>
      </xdr:spPr>
    </xdr:pic>
    <xdr:clientData fLocksWithSheet="0"/>
  </xdr:oneCellAnchor>
  <xdr:twoCellAnchor>
    <xdr:from>
      <xdr:col>8</xdr:col>
      <xdr:colOff>133350</xdr:colOff>
      <xdr:row>1</xdr:row>
      <xdr:rowOff>57151</xdr:rowOff>
    </xdr:from>
    <xdr:to>
      <xdr:col>10</xdr:col>
      <xdr:colOff>409575</xdr:colOff>
      <xdr:row>1</xdr:row>
      <xdr:rowOff>438151</xdr:rowOff>
    </xdr:to>
    <xdr:sp macro="[0]!Planilha2.HideRowsByZero" textlink="">
      <xdr:nvSpPr>
        <xdr:cNvPr id="2" name="Retângulo Arredondado 1"/>
        <xdr:cNvSpPr/>
      </xdr:nvSpPr>
      <xdr:spPr>
        <a:xfrm>
          <a:off x="7315200" y="190501"/>
          <a:ext cx="1495425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700"/>
            <a:t>Gerar Faturas</a:t>
          </a:r>
          <a:endParaRPr lang="pt-BR" sz="1100"/>
        </a:p>
      </xdr:txBody>
    </xdr:sp>
    <xdr:clientData/>
  </xdr:twoCellAnchor>
  <xdr:oneCellAnchor>
    <xdr:from>
      <xdr:col>2</xdr:col>
      <xdr:colOff>2144593</xdr:colOff>
      <xdr:row>100</xdr:row>
      <xdr:rowOff>133478</xdr:rowOff>
    </xdr:from>
    <xdr:ext cx="1601150" cy="781111"/>
    <xdr:sp macro="" textlink="">
      <xdr:nvSpPr>
        <xdr:cNvPr id="4" name="Retângulo 3"/>
        <xdr:cNvSpPr/>
      </xdr:nvSpPr>
      <xdr:spPr>
        <a:xfrm rot="20214424">
          <a:off x="2420818" y="15325853"/>
          <a:ext cx="1601150" cy="78111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4400" b="1" cap="none" spc="0">
              <a:ln w="0"/>
              <a:gradFill>
                <a:gsLst>
                  <a:gs pos="21000">
                    <a:srgbClr val="53575C"/>
                  </a:gs>
                  <a:gs pos="88000">
                    <a:srgbClr val="C5C7CA"/>
                  </a:gs>
                </a:gsLst>
                <a:lin ang="5400000"/>
              </a:gradFill>
              <a:effectLst/>
            </a:rPr>
            <a:t>PAGO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lcul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C1" t="str">
            <v>Energia Elétrica</v>
          </cell>
          <cell r="D1" t="str">
            <v>Manutenção Telhado e limpeza Calhas</v>
          </cell>
          <cell r="E1" t="str">
            <v>Poda Àrvore</v>
          </cell>
          <cell r="F1" t="str">
            <v>Limpeza Caixa de Água</v>
          </cell>
          <cell r="G1" t="str">
            <v>Limpeza Cisterna</v>
          </cell>
          <cell r="H1" t="str">
            <v>Copia de Chave</v>
          </cell>
          <cell r="I1" t="str">
            <v>Troca fechadura portão entrada</v>
          </cell>
          <cell r="J1" t="str">
            <v>3 cópias de chave adicional</v>
          </cell>
          <cell r="K1" t="str">
            <v>Saldo</v>
          </cell>
        </row>
        <row r="3">
          <cell r="B3" t="str">
            <v>Huguinho</v>
          </cell>
          <cell r="C3">
            <v>27</v>
          </cell>
          <cell r="D3">
            <v>58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7</v>
          </cell>
          <cell r="J3">
            <v>0</v>
          </cell>
          <cell r="K3">
            <v>0</v>
          </cell>
          <cell r="L3" t="str">
            <v>mai/2022</v>
          </cell>
          <cell r="M3">
            <v>1</v>
          </cell>
        </row>
        <row r="4">
          <cell r="B4" t="str">
            <v>Luizinho</v>
          </cell>
          <cell r="C4">
            <v>27</v>
          </cell>
          <cell r="D4">
            <v>58</v>
          </cell>
          <cell r="E4">
            <v>0</v>
          </cell>
          <cell r="F4">
            <v>0</v>
          </cell>
          <cell r="G4">
            <v>0</v>
          </cell>
          <cell r="H4">
            <v>9</v>
          </cell>
          <cell r="I4">
            <v>7</v>
          </cell>
          <cell r="J4">
            <v>0</v>
          </cell>
          <cell r="K4">
            <v>0</v>
          </cell>
          <cell r="L4" t="str">
            <v>mai/2022</v>
          </cell>
          <cell r="M4">
            <v>4</v>
          </cell>
        </row>
        <row r="5">
          <cell r="B5" t="str">
            <v>Tio Patinhas</v>
          </cell>
          <cell r="C5">
            <v>27</v>
          </cell>
          <cell r="D5">
            <v>58</v>
          </cell>
          <cell r="E5">
            <v>0</v>
          </cell>
          <cell r="F5">
            <v>0</v>
          </cell>
          <cell r="G5">
            <v>0</v>
          </cell>
          <cell r="H5">
            <v>9</v>
          </cell>
          <cell r="I5">
            <v>7</v>
          </cell>
          <cell r="J5">
            <v>0</v>
          </cell>
          <cell r="K5">
            <v>0</v>
          </cell>
          <cell r="L5" t="str">
            <v>mai/2022</v>
          </cell>
          <cell r="M5">
            <v>3</v>
          </cell>
        </row>
        <row r="6">
          <cell r="B6" t="str">
            <v>Pato Donald</v>
          </cell>
          <cell r="C6">
            <v>27</v>
          </cell>
          <cell r="D6">
            <v>58</v>
          </cell>
          <cell r="E6">
            <v>0</v>
          </cell>
          <cell r="F6">
            <v>0</v>
          </cell>
          <cell r="G6">
            <v>0</v>
          </cell>
          <cell r="H6">
            <v>9</v>
          </cell>
          <cell r="I6">
            <v>7</v>
          </cell>
          <cell r="J6">
            <v>27</v>
          </cell>
          <cell r="K6">
            <v>-200</v>
          </cell>
          <cell r="L6" t="str">
            <v>mai/2022</v>
          </cell>
          <cell r="M6">
            <v>5</v>
          </cell>
        </row>
        <row r="7">
          <cell r="B7" t="str">
            <v>Pateta</v>
          </cell>
          <cell r="C7">
            <v>27</v>
          </cell>
          <cell r="D7">
            <v>58</v>
          </cell>
          <cell r="E7">
            <v>0</v>
          </cell>
          <cell r="F7">
            <v>0</v>
          </cell>
          <cell r="G7">
            <v>0</v>
          </cell>
          <cell r="H7">
            <v>9</v>
          </cell>
          <cell r="I7">
            <v>7</v>
          </cell>
          <cell r="J7">
            <v>0</v>
          </cell>
          <cell r="K7">
            <v>0</v>
          </cell>
          <cell r="L7" t="str">
            <v>mai/2022</v>
          </cell>
          <cell r="M7">
            <v>6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G145"/>
  <sheetViews>
    <sheetView tabSelected="1" workbookViewId="0">
      <selection activeCell="J136" sqref="J136"/>
    </sheetView>
  </sheetViews>
  <sheetFormatPr defaultRowHeight="15" x14ac:dyDescent="0.25"/>
  <cols>
    <col min="1" max="1" width="2.28515625" style="31" customWidth="1"/>
    <col min="2" max="2" width="1.85546875" style="31" customWidth="1"/>
    <col min="3" max="3" width="40.140625" style="31" customWidth="1"/>
    <col min="4" max="4" width="14.7109375" style="31" customWidth="1"/>
    <col min="5" max="5" width="15.7109375" style="31" customWidth="1"/>
    <col min="6" max="6" width="15.140625" style="31" customWidth="1"/>
    <col min="7" max="7" width="8.7109375" style="31" customWidth="1"/>
  </cols>
  <sheetData>
    <row r="1" spans="1:7" ht="10.5" customHeight="1" thickBot="1" x14ac:dyDescent="0.3">
      <c r="A1" s="2"/>
      <c r="B1" s="2"/>
      <c r="C1" s="2"/>
      <c r="D1" s="2"/>
      <c r="E1" s="2"/>
      <c r="F1" s="2"/>
      <c r="G1" s="2"/>
    </row>
    <row r="2" spans="1:7" ht="45.75" customHeight="1" x14ac:dyDescent="0.8">
      <c r="A2" s="2"/>
      <c r="B2" s="3"/>
      <c r="C2" s="4" t="s">
        <v>0</v>
      </c>
      <c r="D2" s="5"/>
      <c r="E2" s="5"/>
      <c r="F2" s="6" t="s">
        <v>15</v>
      </c>
      <c r="G2" s="7"/>
    </row>
    <row r="3" spans="1:7" ht="12.75" customHeight="1" x14ac:dyDescent="0.45">
      <c r="A3" s="2"/>
      <c r="B3" s="8"/>
      <c r="C3" s="9"/>
      <c r="D3" s="1"/>
      <c r="E3" s="1"/>
      <c r="F3" s="10"/>
      <c r="G3" s="11"/>
    </row>
    <row r="4" spans="1:7" ht="15.75" customHeight="1" x14ac:dyDescent="0.25">
      <c r="A4" s="2"/>
      <c r="B4" s="8"/>
      <c r="C4" s="1" t="s">
        <v>16</v>
      </c>
      <c r="D4" s="1"/>
      <c r="E4" s="12" t="s">
        <v>1</v>
      </c>
      <c r="F4" s="13">
        <f ca="1">TODAY()</f>
        <v>44710</v>
      </c>
      <c r="G4" s="11"/>
    </row>
    <row r="5" spans="1:7" ht="12.75" customHeight="1" x14ac:dyDescent="0.25">
      <c r="A5" s="2"/>
      <c r="B5" s="8"/>
      <c r="C5" s="1" t="s">
        <v>17</v>
      </c>
      <c r="D5" s="1"/>
      <c r="E5" s="12" t="s">
        <v>2</v>
      </c>
      <c r="F5" s="37" t="str">
        <f>[1]Sheet1!$L$3</f>
        <v>mai/2022</v>
      </c>
      <c r="G5" s="11"/>
    </row>
    <row r="6" spans="1:7" ht="12.75" customHeight="1" x14ac:dyDescent="0.25">
      <c r="A6" s="2"/>
      <c r="B6" s="8"/>
      <c r="C6" s="1" t="s">
        <v>18</v>
      </c>
      <c r="D6" s="1"/>
      <c r="E6" s="12" t="s">
        <v>12</v>
      </c>
      <c r="F6" s="36">
        <f>[1]Sheet1!M3</f>
        <v>1</v>
      </c>
      <c r="G6" s="11"/>
    </row>
    <row r="7" spans="1:7" ht="12.75" customHeight="1" x14ac:dyDescent="0.25">
      <c r="A7" s="2"/>
      <c r="B7" s="8"/>
      <c r="C7" s="1"/>
      <c r="D7" s="1"/>
      <c r="E7" s="12"/>
      <c r="F7" s="13"/>
      <c r="G7" s="11"/>
    </row>
    <row r="8" spans="1:7" ht="12.75" customHeight="1" x14ac:dyDescent="0.25">
      <c r="A8" s="2"/>
      <c r="B8" s="8"/>
      <c r="C8" s="1"/>
      <c r="D8" s="1"/>
      <c r="E8" s="1"/>
      <c r="F8" s="1"/>
      <c r="G8" s="11"/>
    </row>
    <row r="9" spans="1:7" ht="12.75" customHeight="1" x14ac:dyDescent="0.25">
      <c r="A9" s="2"/>
      <c r="B9" s="8"/>
      <c r="C9" s="32" t="s">
        <v>11</v>
      </c>
      <c r="D9" s="14"/>
      <c r="E9" s="30" t="s">
        <v>3</v>
      </c>
      <c r="F9" s="1"/>
      <c r="G9" s="11"/>
    </row>
    <row r="10" spans="1:7" ht="12.75" customHeight="1" x14ac:dyDescent="0.25">
      <c r="A10" s="2"/>
      <c r="B10" s="8"/>
      <c r="C10" s="35" t="str">
        <f>[1]Sheet1!B3</f>
        <v>Huguinho</v>
      </c>
      <c r="D10" s="33"/>
      <c r="E10" s="34" t="s">
        <v>14</v>
      </c>
      <c r="F10" s="1"/>
      <c r="G10" s="11"/>
    </row>
    <row r="11" spans="1:7" ht="12.75" customHeight="1" x14ac:dyDescent="0.25">
      <c r="A11" s="2"/>
      <c r="B11" s="8"/>
      <c r="C11" s="1"/>
      <c r="D11" s="1"/>
      <c r="E11" s="1"/>
      <c r="F11" s="1"/>
      <c r="G11" s="11"/>
    </row>
    <row r="12" spans="1:7" ht="12.75" customHeight="1" x14ac:dyDescent="0.25">
      <c r="A12" s="2"/>
      <c r="B12" s="8"/>
      <c r="C12" s="1"/>
      <c r="D12" s="1"/>
      <c r="E12" s="1"/>
      <c r="F12" s="1"/>
      <c r="G12" s="11"/>
    </row>
    <row r="13" spans="1:7" ht="12.75" customHeight="1" x14ac:dyDescent="0.25">
      <c r="A13" s="2"/>
      <c r="B13" s="8"/>
      <c r="C13" s="58" t="s">
        <v>4</v>
      </c>
      <c r="D13" s="59"/>
      <c r="E13" s="40" t="s">
        <v>13</v>
      </c>
      <c r="F13" s="44" t="s">
        <v>5</v>
      </c>
      <c r="G13" s="11"/>
    </row>
    <row r="14" spans="1:7" ht="12.75" customHeight="1" x14ac:dyDescent="0.25">
      <c r="A14" s="2"/>
      <c r="B14" s="8"/>
      <c r="C14" s="51" t="str">
        <f>[1]Sheet1!C1</f>
        <v>Energia Elétrica</v>
      </c>
      <c r="D14" s="52"/>
      <c r="E14" s="41" t="str">
        <f>[1]Sheet1!L3</f>
        <v>mai/2022</v>
      </c>
      <c r="F14" s="50">
        <f>[1]Sheet1!C3</f>
        <v>27</v>
      </c>
      <c r="G14" s="11"/>
    </row>
    <row r="15" spans="1:7" ht="12.75" customHeight="1" x14ac:dyDescent="0.25">
      <c r="A15" s="2"/>
      <c r="B15" s="8"/>
      <c r="C15" s="51" t="str">
        <f>[1]Sheet1!D1</f>
        <v>Manutenção Telhado e limpeza Calhas</v>
      </c>
      <c r="D15" s="52"/>
      <c r="E15" s="42" t="str">
        <f>[1]Sheet1!L3</f>
        <v>mai/2022</v>
      </c>
      <c r="F15" s="46">
        <f>[1]Sheet1!D3</f>
        <v>58</v>
      </c>
      <c r="G15" s="11"/>
    </row>
    <row r="16" spans="1:7" ht="12.75" hidden="1" customHeight="1" x14ac:dyDescent="0.25">
      <c r="A16" s="2"/>
      <c r="B16" s="8"/>
      <c r="C16" s="51" t="str">
        <f>[1]Sheet1!E1</f>
        <v>Poda Àrvore</v>
      </c>
      <c r="D16" s="52"/>
      <c r="E16" s="42" t="str">
        <f>[1]Sheet1!L3</f>
        <v>mai/2022</v>
      </c>
      <c r="F16" s="47">
        <f>[1]Sheet1!E3</f>
        <v>0</v>
      </c>
      <c r="G16" s="11"/>
    </row>
    <row r="17" spans="1:7" ht="12.75" hidden="1" customHeight="1" x14ac:dyDescent="0.25">
      <c r="A17" s="2"/>
      <c r="B17" s="8"/>
      <c r="C17" s="51" t="str">
        <f>[1]Sheet1!F1</f>
        <v>Limpeza Caixa de Água</v>
      </c>
      <c r="D17" s="52"/>
      <c r="E17" s="42" t="str">
        <f>[1]Sheet1!L3</f>
        <v>mai/2022</v>
      </c>
      <c r="F17" s="48">
        <f>[1]Sheet1!F3</f>
        <v>0</v>
      </c>
      <c r="G17" s="11"/>
    </row>
    <row r="18" spans="1:7" ht="12.75" hidden="1" customHeight="1" x14ac:dyDescent="0.25">
      <c r="A18" s="2"/>
      <c r="B18" s="8"/>
      <c r="C18" s="51" t="str">
        <f>[1]Sheet1!G1</f>
        <v>Limpeza Cisterna</v>
      </c>
      <c r="D18" s="52"/>
      <c r="E18" s="42" t="str">
        <f>[1]Sheet1!L3</f>
        <v>mai/2022</v>
      </c>
      <c r="F18" s="48">
        <f>[1]Sheet1!G3</f>
        <v>0</v>
      </c>
      <c r="G18" s="11"/>
    </row>
    <row r="19" spans="1:7" ht="12.75" customHeight="1" x14ac:dyDescent="0.25">
      <c r="A19" s="2"/>
      <c r="B19" s="8"/>
      <c r="C19" s="51" t="str">
        <f>[1]Sheet1!H1</f>
        <v>Copia de Chave</v>
      </c>
      <c r="D19" s="52"/>
      <c r="E19" s="42" t="str">
        <f>[1]Sheet1!L3</f>
        <v>mai/2022</v>
      </c>
      <c r="F19" s="48">
        <f>[1]Sheet1!H3</f>
        <v>9</v>
      </c>
      <c r="G19" s="11"/>
    </row>
    <row r="20" spans="1:7" ht="12.75" customHeight="1" x14ac:dyDescent="0.25">
      <c r="A20" s="2"/>
      <c r="B20" s="8"/>
      <c r="C20" s="51" t="str">
        <f>[1]Sheet1!I1</f>
        <v>Troca fechadura portão entrada</v>
      </c>
      <c r="D20" s="52"/>
      <c r="E20" s="42" t="str">
        <f>[1]Sheet1!L3</f>
        <v>mai/2022</v>
      </c>
      <c r="F20" s="48">
        <f>[1]Sheet1!I3</f>
        <v>7</v>
      </c>
      <c r="G20" s="11"/>
    </row>
    <row r="21" spans="1:7" ht="12.75" hidden="1" customHeight="1" x14ac:dyDescent="0.25">
      <c r="A21" s="2"/>
      <c r="B21" s="8"/>
      <c r="C21" s="55" t="str">
        <f>[1]Sheet1!J1</f>
        <v>3 cópias de chave adicional</v>
      </c>
      <c r="D21" s="55"/>
      <c r="E21" s="42" t="str">
        <f>[1]Sheet1!L3</f>
        <v>mai/2022</v>
      </c>
      <c r="F21" s="49">
        <f>[1]Sheet1!J3</f>
        <v>0</v>
      </c>
      <c r="G21" s="11"/>
    </row>
    <row r="22" spans="1:7" ht="12.75" hidden="1" customHeight="1" x14ac:dyDescent="0.25">
      <c r="A22" s="2"/>
      <c r="B22" s="8"/>
      <c r="C22" s="51" t="str">
        <f>[1]Sheet1!K1</f>
        <v>Saldo</v>
      </c>
      <c r="D22" s="52"/>
      <c r="E22" s="39"/>
      <c r="F22" s="48">
        <f>[1]Sheet1!K3</f>
        <v>0</v>
      </c>
      <c r="G22" s="11"/>
    </row>
    <row r="23" spans="1:7" ht="12.75" customHeight="1" x14ac:dyDescent="0.25">
      <c r="A23" s="2"/>
      <c r="B23" s="8"/>
      <c r="C23" s="17"/>
      <c r="D23" s="18"/>
      <c r="E23" s="19" t="s">
        <v>6</v>
      </c>
      <c r="F23" s="20">
        <f>SUM(F14:F22)</f>
        <v>101</v>
      </c>
      <c r="G23" s="11"/>
    </row>
    <row r="24" spans="1:7" ht="12.75" hidden="1" customHeight="1" x14ac:dyDescent="0.25">
      <c r="A24" s="2"/>
      <c r="B24" s="8"/>
      <c r="C24" s="17" t="s">
        <v>7</v>
      </c>
      <c r="D24" s="18"/>
      <c r="E24" s="19" t="s">
        <v>8</v>
      </c>
      <c r="F24" s="21">
        <v>0</v>
      </c>
      <c r="G24" s="11"/>
    </row>
    <row r="25" spans="1:7" ht="12.75" customHeight="1" x14ac:dyDescent="0.25">
      <c r="A25" s="2"/>
      <c r="B25" s="8"/>
      <c r="C25" s="2"/>
      <c r="D25" s="18"/>
      <c r="E25" s="19" t="s">
        <v>9</v>
      </c>
      <c r="F25" s="22"/>
      <c r="G25" s="11"/>
    </row>
    <row r="26" spans="1:7" ht="12.75" customHeight="1" thickBot="1" x14ac:dyDescent="0.3">
      <c r="A26" s="2"/>
      <c r="B26" s="8"/>
      <c r="C26" s="23"/>
      <c r="D26" s="18"/>
      <c r="E26" s="24" t="s">
        <v>10</v>
      </c>
      <c r="F26" s="25">
        <f>F23+F25</f>
        <v>101</v>
      </c>
      <c r="G26" s="11"/>
    </row>
    <row r="27" spans="1:7" ht="12.75" customHeight="1" x14ac:dyDescent="0.25">
      <c r="A27" s="2"/>
      <c r="B27" s="8"/>
      <c r="C27" s="26" t="s">
        <v>19</v>
      </c>
      <c r="D27" s="1"/>
      <c r="E27" s="1"/>
      <c r="F27" s="1"/>
      <c r="G27" s="11"/>
    </row>
    <row r="28" spans="1:7" ht="12.75" customHeight="1" x14ac:dyDescent="0.25">
      <c r="A28" s="2"/>
      <c r="B28" s="8"/>
      <c r="C28" s="2"/>
      <c r="D28" s="2"/>
      <c r="E28" s="2"/>
      <c r="F28" s="2"/>
      <c r="G28" s="11"/>
    </row>
    <row r="29" spans="1:7" ht="12.75" customHeight="1" thickBot="1" x14ac:dyDescent="0.3">
      <c r="A29" s="2"/>
      <c r="B29" s="27"/>
      <c r="C29" s="28"/>
      <c r="D29" s="28"/>
      <c r="E29" s="28"/>
      <c r="F29" s="28"/>
      <c r="G29" s="29"/>
    </row>
    <row r="30" spans="1:7" ht="15.75" thickBot="1" x14ac:dyDescent="0.3">
      <c r="A30" s="2"/>
      <c r="B30" s="1"/>
      <c r="C30" s="2"/>
      <c r="D30" s="2"/>
      <c r="E30" s="2"/>
      <c r="F30" s="2"/>
      <c r="G30" s="1"/>
    </row>
    <row r="31" spans="1:7" ht="45.75" customHeight="1" x14ac:dyDescent="0.8">
      <c r="A31" s="2"/>
      <c r="B31" s="3"/>
      <c r="C31" s="4" t="s">
        <v>0</v>
      </c>
      <c r="D31" s="5"/>
      <c r="E31" s="5"/>
      <c r="F31" s="6" t="s">
        <v>15</v>
      </c>
      <c r="G31" s="7"/>
    </row>
    <row r="32" spans="1:7" ht="12.75" customHeight="1" x14ac:dyDescent="0.45">
      <c r="A32" s="2"/>
      <c r="B32" s="8"/>
      <c r="C32" s="9"/>
      <c r="D32" s="1"/>
      <c r="E32" s="1"/>
      <c r="F32" s="10"/>
      <c r="G32" s="11"/>
    </row>
    <row r="33" spans="1:7" ht="15.75" customHeight="1" x14ac:dyDescent="0.25">
      <c r="A33" s="2"/>
      <c r="B33" s="8"/>
      <c r="C33" s="1" t="s">
        <v>16</v>
      </c>
      <c r="D33" s="1"/>
      <c r="E33" s="12" t="s">
        <v>1</v>
      </c>
      <c r="F33" s="13">
        <f ca="1">TODAY()</f>
        <v>44710</v>
      </c>
      <c r="G33" s="11"/>
    </row>
    <row r="34" spans="1:7" ht="12.75" customHeight="1" x14ac:dyDescent="0.25">
      <c r="A34" s="2"/>
      <c r="B34" s="8"/>
      <c r="C34" s="1" t="s">
        <v>17</v>
      </c>
      <c r="D34" s="1"/>
      <c r="E34" s="12" t="s">
        <v>2</v>
      </c>
      <c r="F34" s="37" t="str">
        <f>[1]Sheet1!L4</f>
        <v>mai/2022</v>
      </c>
      <c r="G34" s="11"/>
    </row>
    <row r="35" spans="1:7" ht="12.75" customHeight="1" x14ac:dyDescent="0.25">
      <c r="A35" s="2"/>
      <c r="B35" s="8"/>
      <c r="C35" s="1" t="s">
        <v>18</v>
      </c>
      <c r="D35" s="1"/>
      <c r="E35" s="12" t="s">
        <v>12</v>
      </c>
      <c r="F35" s="36">
        <f>[1]Sheet1!M4</f>
        <v>4</v>
      </c>
      <c r="G35" s="11"/>
    </row>
    <row r="36" spans="1:7" ht="12.75" customHeight="1" x14ac:dyDescent="0.25">
      <c r="A36" s="2"/>
      <c r="B36" s="8"/>
      <c r="C36" s="1"/>
      <c r="D36" s="1"/>
      <c r="E36" s="12"/>
      <c r="F36" s="13"/>
      <c r="G36" s="11"/>
    </row>
    <row r="37" spans="1:7" ht="12.75" customHeight="1" x14ac:dyDescent="0.25">
      <c r="A37" s="2"/>
      <c r="B37" s="8"/>
      <c r="C37" s="1"/>
      <c r="D37" s="1"/>
      <c r="E37" s="1"/>
      <c r="F37" s="1"/>
      <c r="G37" s="11"/>
    </row>
    <row r="38" spans="1:7" ht="12.75" customHeight="1" x14ac:dyDescent="0.25">
      <c r="A38" s="2"/>
      <c r="B38" s="8"/>
      <c r="C38" s="32" t="s">
        <v>11</v>
      </c>
      <c r="D38" s="14"/>
      <c r="E38" s="30" t="s">
        <v>3</v>
      </c>
      <c r="F38" s="1"/>
      <c r="G38" s="11"/>
    </row>
    <row r="39" spans="1:7" ht="12.75" customHeight="1" x14ac:dyDescent="0.25">
      <c r="A39" s="2"/>
      <c r="B39" s="8"/>
      <c r="C39" s="35" t="str">
        <f>[1]Sheet1!B4</f>
        <v>Luizinho</v>
      </c>
      <c r="D39" s="33"/>
      <c r="E39" s="34" t="s">
        <v>14</v>
      </c>
      <c r="F39" s="1"/>
      <c r="G39" s="11"/>
    </row>
    <row r="40" spans="1:7" ht="12.75" customHeight="1" x14ac:dyDescent="0.25">
      <c r="A40" s="2"/>
      <c r="B40" s="8"/>
      <c r="C40" s="1"/>
      <c r="D40" s="1"/>
      <c r="E40" s="1"/>
      <c r="F40" s="1"/>
      <c r="G40" s="11"/>
    </row>
    <row r="41" spans="1:7" ht="12.75" customHeight="1" x14ac:dyDescent="0.25">
      <c r="A41" s="2"/>
      <c r="B41" s="8"/>
      <c r="C41" s="1"/>
      <c r="D41" s="1"/>
      <c r="E41" s="1"/>
      <c r="F41" s="1"/>
      <c r="G41" s="11"/>
    </row>
    <row r="42" spans="1:7" ht="12.75" customHeight="1" x14ac:dyDescent="0.25">
      <c r="A42" s="2"/>
      <c r="B42" s="8"/>
      <c r="C42" s="53" t="s">
        <v>4</v>
      </c>
      <c r="D42" s="54"/>
      <c r="E42" s="38" t="s">
        <v>13</v>
      </c>
      <c r="F42" s="15" t="s">
        <v>5</v>
      </c>
      <c r="G42" s="11"/>
    </row>
    <row r="43" spans="1:7" ht="12.75" customHeight="1" x14ac:dyDescent="0.25">
      <c r="A43" s="2"/>
      <c r="B43" s="8"/>
      <c r="C43" s="51" t="str">
        <f>[1]Sheet1!C1</f>
        <v>Energia Elétrica</v>
      </c>
      <c r="D43" s="52"/>
      <c r="E43" s="41" t="str">
        <f>[1]Sheet1!L4</f>
        <v>mai/2022</v>
      </c>
      <c r="F43" s="45">
        <f>[1]Sheet1!C4</f>
        <v>27</v>
      </c>
      <c r="G43" s="11"/>
    </row>
    <row r="44" spans="1:7" ht="12.75" customHeight="1" x14ac:dyDescent="0.25">
      <c r="A44" s="2"/>
      <c r="B44" s="8"/>
      <c r="C44" s="51" t="str">
        <f>[1]Sheet1!D1</f>
        <v>Manutenção Telhado e limpeza Calhas</v>
      </c>
      <c r="D44" s="52"/>
      <c r="E44" s="42" t="str">
        <f>[1]Sheet1!L4</f>
        <v>mai/2022</v>
      </c>
      <c r="F44" s="46">
        <f>[1]Sheet1!D4</f>
        <v>58</v>
      </c>
      <c r="G44" s="11"/>
    </row>
    <row r="45" spans="1:7" ht="12.75" hidden="1" customHeight="1" x14ac:dyDescent="0.25">
      <c r="A45" s="2"/>
      <c r="B45" s="8"/>
      <c r="C45" s="51" t="str">
        <f>[1]Sheet1!E1</f>
        <v>Poda Àrvore</v>
      </c>
      <c r="D45" s="52"/>
      <c r="E45" s="42" t="str">
        <f>[1]Sheet1!L4</f>
        <v>mai/2022</v>
      </c>
      <c r="F45" s="47">
        <f>[1]Sheet1!E4</f>
        <v>0</v>
      </c>
      <c r="G45" s="11"/>
    </row>
    <row r="46" spans="1:7" ht="12.75" hidden="1" customHeight="1" x14ac:dyDescent="0.25">
      <c r="A46" s="2"/>
      <c r="B46" s="8"/>
      <c r="C46" s="51" t="str">
        <f>[1]Sheet1!F1</f>
        <v>Limpeza Caixa de Água</v>
      </c>
      <c r="D46" s="52"/>
      <c r="E46" s="42" t="str">
        <f>[1]Sheet1!L4</f>
        <v>mai/2022</v>
      </c>
      <c r="F46" s="48">
        <f>[1]Sheet1!F4</f>
        <v>0</v>
      </c>
      <c r="G46" s="11"/>
    </row>
    <row r="47" spans="1:7" ht="12.75" hidden="1" customHeight="1" x14ac:dyDescent="0.25">
      <c r="A47" s="2"/>
      <c r="B47" s="8"/>
      <c r="C47" s="51" t="str">
        <f>[1]Sheet1!G1</f>
        <v>Limpeza Cisterna</v>
      </c>
      <c r="D47" s="52"/>
      <c r="E47" s="42" t="str">
        <f>[1]Sheet1!L4</f>
        <v>mai/2022</v>
      </c>
      <c r="F47" s="48">
        <f>[1]Sheet1!G4</f>
        <v>0</v>
      </c>
      <c r="G47" s="11"/>
    </row>
    <row r="48" spans="1:7" ht="12.75" customHeight="1" x14ac:dyDescent="0.25">
      <c r="A48" s="2"/>
      <c r="B48" s="8"/>
      <c r="C48" s="51" t="str">
        <f>[1]Sheet1!H1</f>
        <v>Copia de Chave</v>
      </c>
      <c r="D48" s="52"/>
      <c r="E48" s="42" t="str">
        <f>[1]Sheet1!L4</f>
        <v>mai/2022</v>
      </c>
      <c r="F48" s="48">
        <f>[1]Sheet1!H4</f>
        <v>9</v>
      </c>
      <c r="G48" s="11"/>
    </row>
    <row r="49" spans="1:7" ht="12.75" customHeight="1" x14ac:dyDescent="0.25">
      <c r="A49" s="2"/>
      <c r="B49" s="8"/>
      <c r="C49" s="51" t="str">
        <f>[1]Sheet1!I1</f>
        <v>Troca fechadura portão entrada</v>
      </c>
      <c r="D49" s="52"/>
      <c r="E49" s="42" t="str">
        <f>[1]Sheet1!L4</f>
        <v>mai/2022</v>
      </c>
      <c r="F49" s="48">
        <f>[1]Sheet1!I4</f>
        <v>7</v>
      </c>
      <c r="G49" s="11"/>
    </row>
    <row r="50" spans="1:7" ht="12.75" hidden="1" customHeight="1" x14ac:dyDescent="0.25">
      <c r="A50" s="2"/>
      <c r="B50" s="8"/>
      <c r="C50" s="55" t="str">
        <f>[1]Sheet1!J1</f>
        <v>3 cópias de chave adicional</v>
      </c>
      <c r="D50" s="55"/>
      <c r="E50" s="42" t="str">
        <f>[1]Sheet1!L4</f>
        <v>mai/2022</v>
      </c>
      <c r="F50" s="48">
        <f>[1]Sheet1!J4</f>
        <v>0</v>
      </c>
      <c r="G50" s="11"/>
    </row>
    <row r="51" spans="1:7" ht="12.75" hidden="1" customHeight="1" x14ac:dyDescent="0.25">
      <c r="A51" s="2"/>
      <c r="B51" s="8"/>
      <c r="C51" s="51" t="str">
        <f>[1]Sheet1!K1</f>
        <v>Saldo</v>
      </c>
      <c r="D51" s="52"/>
      <c r="E51" s="39"/>
      <c r="F51" s="48">
        <f>[1]Sheet1!K4</f>
        <v>0</v>
      </c>
      <c r="G51" s="11"/>
    </row>
    <row r="52" spans="1:7" ht="12.75" customHeight="1" x14ac:dyDescent="0.25">
      <c r="A52" s="2"/>
      <c r="B52" s="8"/>
      <c r="C52" s="17"/>
      <c r="D52" s="18"/>
      <c r="E52" s="19" t="s">
        <v>6</v>
      </c>
      <c r="F52" s="20">
        <f>SUM(F43:F51)</f>
        <v>101</v>
      </c>
      <c r="G52" s="11"/>
    </row>
    <row r="53" spans="1:7" ht="12.75" hidden="1" customHeight="1" x14ac:dyDescent="0.25">
      <c r="A53" s="2"/>
      <c r="B53" s="8"/>
      <c r="C53" s="17" t="s">
        <v>7</v>
      </c>
      <c r="D53" s="18"/>
      <c r="E53" s="19" t="s">
        <v>8</v>
      </c>
      <c r="F53" s="21">
        <v>0</v>
      </c>
      <c r="G53" s="11"/>
    </row>
    <row r="54" spans="1:7" ht="12.75" customHeight="1" x14ac:dyDescent="0.25">
      <c r="A54" s="2"/>
      <c r="B54" s="8"/>
      <c r="C54" s="2"/>
      <c r="D54" s="18"/>
      <c r="E54" s="19" t="s">
        <v>9</v>
      </c>
      <c r="F54" s="22"/>
      <c r="G54" s="11"/>
    </row>
    <row r="55" spans="1:7" ht="12.75" customHeight="1" thickBot="1" x14ac:dyDescent="0.3">
      <c r="A55" s="2"/>
      <c r="B55" s="8"/>
      <c r="C55" s="23"/>
      <c r="D55" s="18"/>
      <c r="E55" s="24" t="s">
        <v>10</v>
      </c>
      <c r="F55" s="25">
        <f>F52+F54</f>
        <v>101</v>
      </c>
      <c r="G55" s="11"/>
    </row>
    <row r="56" spans="1:7" ht="12.75" customHeight="1" x14ac:dyDescent="0.25">
      <c r="A56" s="2"/>
      <c r="B56" s="8"/>
      <c r="C56" s="26" t="s">
        <v>19</v>
      </c>
      <c r="D56" s="1"/>
      <c r="E56" s="1"/>
      <c r="F56" s="1"/>
      <c r="G56" s="11"/>
    </row>
    <row r="57" spans="1:7" ht="12.75" customHeight="1" x14ac:dyDescent="0.25">
      <c r="A57" s="2"/>
      <c r="B57" s="8"/>
      <c r="C57" s="2"/>
      <c r="D57" s="2"/>
      <c r="E57" s="2"/>
      <c r="F57" s="2"/>
      <c r="G57" s="11"/>
    </row>
    <row r="58" spans="1:7" ht="12.75" customHeight="1" thickBot="1" x14ac:dyDescent="0.3">
      <c r="A58" s="2"/>
      <c r="B58" s="27"/>
      <c r="C58" s="28"/>
      <c r="D58" s="28"/>
      <c r="E58" s="28"/>
      <c r="F58" s="28"/>
      <c r="G58" s="29"/>
    </row>
    <row r="59" spans="1:7" ht="15.75" thickBot="1" x14ac:dyDescent="0.3"/>
    <row r="60" spans="1:7" ht="45.75" customHeight="1" x14ac:dyDescent="0.8">
      <c r="A60" s="2"/>
      <c r="B60" s="3"/>
      <c r="C60" s="4" t="s">
        <v>0</v>
      </c>
      <c r="D60" s="5"/>
      <c r="E60" s="5"/>
      <c r="F60" s="6" t="s">
        <v>15</v>
      </c>
      <c r="G60" s="7"/>
    </row>
    <row r="61" spans="1:7" ht="12.75" customHeight="1" x14ac:dyDescent="0.45">
      <c r="A61" s="2"/>
      <c r="B61" s="8"/>
      <c r="C61" s="9"/>
      <c r="D61" s="1"/>
      <c r="E61" s="1"/>
      <c r="F61" s="10"/>
      <c r="G61" s="11"/>
    </row>
    <row r="62" spans="1:7" ht="15.75" customHeight="1" x14ac:dyDescent="0.25">
      <c r="A62" s="2"/>
      <c r="B62" s="8"/>
      <c r="C62" s="1" t="s">
        <v>16</v>
      </c>
      <c r="D62" s="1"/>
      <c r="E62" s="12" t="s">
        <v>1</v>
      </c>
      <c r="F62" s="13">
        <f ca="1">TODAY()</f>
        <v>44710</v>
      </c>
      <c r="G62" s="11"/>
    </row>
    <row r="63" spans="1:7" ht="12.75" customHeight="1" x14ac:dyDescent="0.25">
      <c r="A63" s="2"/>
      <c r="B63" s="8"/>
      <c r="C63" s="1" t="s">
        <v>17</v>
      </c>
      <c r="D63" s="1"/>
      <c r="E63" s="12" t="s">
        <v>2</v>
      </c>
      <c r="F63" s="37" t="str">
        <f>[1]Sheet1!L5</f>
        <v>mai/2022</v>
      </c>
      <c r="G63" s="11"/>
    </row>
    <row r="64" spans="1:7" ht="12.75" customHeight="1" x14ac:dyDescent="0.25">
      <c r="A64" s="2"/>
      <c r="B64" s="8"/>
      <c r="C64" s="1" t="s">
        <v>18</v>
      </c>
      <c r="D64" s="1"/>
      <c r="E64" s="12" t="s">
        <v>12</v>
      </c>
      <c r="F64" s="36">
        <f>[1]Sheet1!M5</f>
        <v>3</v>
      </c>
      <c r="G64" s="11"/>
    </row>
    <row r="65" spans="1:7" ht="12.75" customHeight="1" x14ac:dyDescent="0.25">
      <c r="A65" s="2"/>
      <c r="B65" s="8"/>
      <c r="C65" s="1"/>
      <c r="D65" s="1"/>
      <c r="E65" s="12"/>
      <c r="F65" s="13"/>
      <c r="G65" s="11"/>
    </row>
    <row r="66" spans="1:7" ht="12.75" customHeight="1" x14ac:dyDescent="0.25">
      <c r="A66" s="2"/>
      <c r="B66" s="8"/>
      <c r="C66" s="1"/>
      <c r="D66" s="1"/>
      <c r="E66" s="1"/>
      <c r="F66" s="1"/>
      <c r="G66" s="11"/>
    </row>
    <row r="67" spans="1:7" ht="12.75" customHeight="1" x14ac:dyDescent="0.25">
      <c r="A67" s="2"/>
      <c r="B67" s="8"/>
      <c r="C67" s="32" t="s">
        <v>11</v>
      </c>
      <c r="D67" s="14"/>
      <c r="E67" s="30" t="s">
        <v>3</v>
      </c>
      <c r="F67" s="1"/>
      <c r="G67" s="11"/>
    </row>
    <row r="68" spans="1:7" ht="12.75" customHeight="1" x14ac:dyDescent="0.25">
      <c r="A68" s="2"/>
      <c r="B68" s="8"/>
      <c r="C68" s="35" t="str">
        <f>[1]Sheet1!B5</f>
        <v>Tio Patinhas</v>
      </c>
      <c r="D68" s="33"/>
      <c r="E68" s="34" t="s">
        <v>14</v>
      </c>
      <c r="F68" s="1"/>
      <c r="G68" s="11"/>
    </row>
    <row r="69" spans="1:7" ht="12.75" customHeight="1" x14ac:dyDescent="0.25">
      <c r="A69" s="2"/>
      <c r="B69" s="8"/>
      <c r="C69" s="1"/>
      <c r="D69" s="1"/>
      <c r="E69" s="1"/>
      <c r="F69" s="1"/>
      <c r="G69" s="11"/>
    </row>
    <row r="70" spans="1:7" ht="12.75" customHeight="1" x14ac:dyDescent="0.25">
      <c r="A70" s="2"/>
      <c r="B70" s="8"/>
      <c r="C70" s="1"/>
      <c r="D70" s="1"/>
      <c r="E70" s="1"/>
      <c r="F70" s="1"/>
      <c r="G70" s="11"/>
    </row>
    <row r="71" spans="1:7" ht="12.75" customHeight="1" x14ac:dyDescent="0.25">
      <c r="A71" s="2"/>
      <c r="B71" s="8"/>
      <c r="C71" s="53" t="s">
        <v>4</v>
      </c>
      <c r="D71" s="54"/>
      <c r="E71" s="38" t="s">
        <v>13</v>
      </c>
      <c r="F71" s="15" t="s">
        <v>5</v>
      </c>
      <c r="G71" s="11"/>
    </row>
    <row r="72" spans="1:7" ht="12.75" customHeight="1" x14ac:dyDescent="0.25">
      <c r="A72" s="2"/>
      <c r="B72" s="8"/>
      <c r="C72" s="51" t="str">
        <f>[1]Sheet1!C1</f>
        <v>Energia Elétrica</v>
      </c>
      <c r="D72" s="52"/>
      <c r="E72" s="41" t="str">
        <f>[1]Sheet1!L5</f>
        <v>mai/2022</v>
      </c>
      <c r="F72" s="45">
        <f>[1]Sheet1!C5</f>
        <v>27</v>
      </c>
      <c r="G72" s="11"/>
    </row>
    <row r="73" spans="1:7" ht="12.75" customHeight="1" x14ac:dyDescent="0.25">
      <c r="A73" s="2"/>
      <c r="B73" s="8"/>
      <c r="C73" s="51" t="str">
        <f>[1]Sheet1!D1</f>
        <v>Manutenção Telhado e limpeza Calhas</v>
      </c>
      <c r="D73" s="52"/>
      <c r="E73" s="42" t="str">
        <f>[1]Sheet1!L5</f>
        <v>mai/2022</v>
      </c>
      <c r="F73" s="46">
        <f>[1]Sheet1!D5</f>
        <v>58</v>
      </c>
      <c r="G73" s="11"/>
    </row>
    <row r="74" spans="1:7" ht="12.75" hidden="1" customHeight="1" x14ac:dyDescent="0.25">
      <c r="A74" s="2"/>
      <c r="B74" s="8"/>
      <c r="C74" s="51" t="str">
        <f>[1]Sheet1!E1</f>
        <v>Poda Àrvore</v>
      </c>
      <c r="D74" s="52"/>
      <c r="E74" s="42" t="str">
        <f>[1]Sheet1!L5</f>
        <v>mai/2022</v>
      </c>
      <c r="F74" s="47">
        <f>[1]Sheet1!E5</f>
        <v>0</v>
      </c>
      <c r="G74" s="11"/>
    </row>
    <row r="75" spans="1:7" ht="12.75" hidden="1" customHeight="1" x14ac:dyDescent="0.25">
      <c r="A75" s="2"/>
      <c r="B75" s="8"/>
      <c r="C75" s="51" t="str">
        <f>[1]Sheet1!F1</f>
        <v>Limpeza Caixa de Água</v>
      </c>
      <c r="D75" s="52"/>
      <c r="E75" s="42" t="str">
        <f>[1]Sheet1!L5</f>
        <v>mai/2022</v>
      </c>
      <c r="F75" s="48">
        <f>[1]Sheet1!F5</f>
        <v>0</v>
      </c>
      <c r="G75" s="11"/>
    </row>
    <row r="76" spans="1:7" ht="12.75" hidden="1" customHeight="1" x14ac:dyDescent="0.25">
      <c r="A76" s="2"/>
      <c r="B76" s="8"/>
      <c r="C76" s="51" t="str">
        <f>[1]Sheet1!G1</f>
        <v>Limpeza Cisterna</v>
      </c>
      <c r="D76" s="52"/>
      <c r="E76" s="42" t="str">
        <f>[1]Sheet1!L5</f>
        <v>mai/2022</v>
      </c>
      <c r="F76" s="48">
        <f>[1]Sheet1!G5</f>
        <v>0</v>
      </c>
      <c r="G76" s="11"/>
    </row>
    <row r="77" spans="1:7" ht="12.75" customHeight="1" x14ac:dyDescent="0.25">
      <c r="A77" s="2"/>
      <c r="B77" s="8"/>
      <c r="C77" s="51" t="str">
        <f>[1]Sheet1!H1</f>
        <v>Copia de Chave</v>
      </c>
      <c r="D77" s="52"/>
      <c r="E77" s="42" t="str">
        <f>[1]Sheet1!L5</f>
        <v>mai/2022</v>
      </c>
      <c r="F77" s="48">
        <f>[1]Sheet1!H5</f>
        <v>9</v>
      </c>
      <c r="G77" s="11"/>
    </row>
    <row r="78" spans="1:7" ht="12.75" customHeight="1" x14ac:dyDescent="0.25">
      <c r="A78" s="2"/>
      <c r="B78" s="8"/>
      <c r="C78" s="51" t="str">
        <f>[1]Sheet1!I1</f>
        <v>Troca fechadura portão entrada</v>
      </c>
      <c r="D78" s="52"/>
      <c r="E78" s="42" t="str">
        <f>[1]Sheet1!L5</f>
        <v>mai/2022</v>
      </c>
      <c r="F78" s="48">
        <f>[1]Sheet1!I5</f>
        <v>7</v>
      </c>
      <c r="G78" s="11"/>
    </row>
    <row r="79" spans="1:7" ht="12.75" hidden="1" customHeight="1" x14ac:dyDescent="0.25">
      <c r="A79" s="2"/>
      <c r="B79" s="8"/>
      <c r="C79" s="55" t="str">
        <f>[1]Sheet1!J1</f>
        <v>3 cópias de chave adicional</v>
      </c>
      <c r="D79" s="55"/>
      <c r="E79" s="42" t="str">
        <f>[1]Sheet1!L5</f>
        <v>mai/2022</v>
      </c>
      <c r="F79" s="48">
        <f>[1]Sheet1!J5</f>
        <v>0</v>
      </c>
      <c r="G79" s="11"/>
    </row>
    <row r="80" spans="1:7" ht="12.75" hidden="1" customHeight="1" x14ac:dyDescent="0.25">
      <c r="A80" s="2"/>
      <c r="B80" s="8"/>
      <c r="C80" s="51" t="str">
        <f>[1]Sheet1!K1</f>
        <v>Saldo</v>
      </c>
      <c r="D80" s="52"/>
      <c r="E80" s="39"/>
      <c r="F80" s="48">
        <f>[1]Sheet1!K5</f>
        <v>0</v>
      </c>
      <c r="G80" s="11"/>
    </row>
    <row r="81" spans="1:7" ht="12.75" customHeight="1" x14ac:dyDescent="0.25">
      <c r="A81" s="2"/>
      <c r="B81" s="8"/>
      <c r="C81" s="17"/>
      <c r="D81" s="18"/>
      <c r="E81" s="19" t="s">
        <v>6</v>
      </c>
      <c r="F81" s="20">
        <f>SUM(F72:F80)</f>
        <v>101</v>
      </c>
      <c r="G81" s="11"/>
    </row>
    <row r="82" spans="1:7" ht="12.75" hidden="1" customHeight="1" x14ac:dyDescent="0.25">
      <c r="A82" s="2"/>
      <c r="B82" s="8"/>
      <c r="C82" s="17" t="s">
        <v>7</v>
      </c>
      <c r="D82" s="18"/>
      <c r="E82" s="19" t="s">
        <v>8</v>
      </c>
      <c r="F82" s="21">
        <v>0</v>
      </c>
      <c r="G82" s="11"/>
    </row>
    <row r="83" spans="1:7" ht="12.75" customHeight="1" x14ac:dyDescent="0.25">
      <c r="A83" s="2"/>
      <c r="B83" s="8"/>
      <c r="C83" s="2"/>
      <c r="D83" s="18"/>
      <c r="E83" s="19" t="s">
        <v>9</v>
      </c>
      <c r="F83" s="22"/>
      <c r="G83" s="11"/>
    </row>
    <row r="84" spans="1:7" ht="12.75" customHeight="1" thickBot="1" x14ac:dyDescent="0.3">
      <c r="A84" s="2"/>
      <c r="B84" s="8"/>
      <c r="C84" s="23"/>
      <c r="D84" s="18"/>
      <c r="E84" s="24" t="s">
        <v>10</v>
      </c>
      <c r="F84" s="25">
        <f>F81+F83</f>
        <v>101</v>
      </c>
      <c r="G84" s="11"/>
    </row>
    <row r="85" spans="1:7" ht="12.75" customHeight="1" x14ac:dyDescent="0.25">
      <c r="A85" s="2"/>
      <c r="B85" s="8"/>
      <c r="C85" s="26" t="s">
        <v>19</v>
      </c>
      <c r="D85" s="1"/>
      <c r="E85" s="1"/>
      <c r="F85" s="1"/>
      <c r="G85" s="11"/>
    </row>
    <row r="86" spans="1:7" ht="12.75" customHeight="1" x14ac:dyDescent="0.25">
      <c r="A86" s="2"/>
      <c r="B86" s="8"/>
      <c r="C86" s="2"/>
      <c r="D86" s="2"/>
      <c r="E86" s="2"/>
      <c r="F86" s="2"/>
      <c r="G86" s="11"/>
    </row>
    <row r="87" spans="1:7" ht="12.75" customHeight="1" thickBot="1" x14ac:dyDescent="0.3">
      <c r="A87" s="2"/>
      <c r="B87" s="27"/>
      <c r="C87" s="28"/>
      <c r="D87" s="28"/>
      <c r="E87" s="28"/>
      <c r="F87" s="28"/>
      <c r="G87" s="29"/>
    </row>
    <row r="88" spans="1:7" ht="15.75" thickBot="1" x14ac:dyDescent="0.3"/>
    <row r="89" spans="1:7" ht="45.75" customHeight="1" x14ac:dyDescent="0.8">
      <c r="A89" s="2"/>
      <c r="B89" s="3"/>
      <c r="C89" s="4" t="s">
        <v>0</v>
      </c>
      <c r="D89" s="5"/>
      <c r="E89" s="5"/>
      <c r="F89" s="6" t="s">
        <v>15</v>
      </c>
      <c r="G89" s="7"/>
    </row>
    <row r="90" spans="1:7" ht="12.75" customHeight="1" x14ac:dyDescent="0.45">
      <c r="A90" s="2"/>
      <c r="B90" s="8"/>
      <c r="C90" s="9"/>
      <c r="D90" s="1"/>
      <c r="E90" s="1"/>
      <c r="F90" s="10"/>
      <c r="G90" s="11"/>
    </row>
    <row r="91" spans="1:7" ht="15.75" customHeight="1" x14ac:dyDescent="0.25">
      <c r="A91" s="2"/>
      <c r="B91" s="8"/>
      <c r="C91" s="1" t="s">
        <v>16</v>
      </c>
      <c r="D91" s="1"/>
      <c r="E91" s="12" t="s">
        <v>1</v>
      </c>
      <c r="F91" s="13">
        <f ca="1">TODAY()</f>
        <v>44710</v>
      </c>
      <c r="G91" s="11"/>
    </row>
    <row r="92" spans="1:7" ht="12.75" customHeight="1" x14ac:dyDescent="0.25">
      <c r="A92" s="2"/>
      <c r="B92" s="8"/>
      <c r="C92" s="1" t="s">
        <v>17</v>
      </c>
      <c r="D92" s="1"/>
      <c r="E92" s="12" t="s">
        <v>2</v>
      </c>
      <c r="F92" s="37" t="str">
        <f>[1]Sheet1!L6</f>
        <v>mai/2022</v>
      </c>
      <c r="G92" s="11"/>
    </row>
    <row r="93" spans="1:7" ht="12.75" customHeight="1" x14ac:dyDescent="0.25">
      <c r="A93" s="2"/>
      <c r="B93" s="8"/>
      <c r="C93" s="1" t="s">
        <v>18</v>
      </c>
      <c r="D93" s="1"/>
      <c r="E93" s="12" t="s">
        <v>12</v>
      </c>
      <c r="F93" s="36">
        <f>[1]Sheet1!M6</f>
        <v>5</v>
      </c>
      <c r="G93" s="11"/>
    </row>
    <row r="94" spans="1:7" ht="12.75" customHeight="1" x14ac:dyDescent="0.25">
      <c r="A94" s="2"/>
      <c r="B94" s="8"/>
      <c r="C94" s="1"/>
      <c r="D94" s="1"/>
      <c r="E94" s="12"/>
      <c r="F94" s="13"/>
      <c r="G94" s="11"/>
    </row>
    <row r="95" spans="1:7" ht="12.75" customHeight="1" x14ac:dyDescent="0.25">
      <c r="A95" s="2"/>
      <c r="B95" s="8"/>
      <c r="C95" s="1"/>
      <c r="D95" s="1"/>
      <c r="E95" s="1"/>
      <c r="F95" s="1"/>
      <c r="G95" s="11"/>
    </row>
    <row r="96" spans="1:7" ht="12.75" customHeight="1" x14ac:dyDescent="0.25">
      <c r="A96" s="2"/>
      <c r="B96" s="8"/>
      <c r="C96" s="32" t="s">
        <v>11</v>
      </c>
      <c r="D96" s="14"/>
      <c r="E96" s="30" t="s">
        <v>3</v>
      </c>
      <c r="F96" s="1"/>
      <c r="G96" s="11"/>
    </row>
    <row r="97" spans="1:7" ht="12.75" customHeight="1" x14ac:dyDescent="0.25">
      <c r="A97" s="2"/>
      <c r="B97" s="8"/>
      <c r="C97" s="35" t="str">
        <f>[1]Sheet1!B6</f>
        <v>Pato Donald</v>
      </c>
      <c r="D97" s="33"/>
      <c r="E97" s="34" t="s">
        <v>14</v>
      </c>
      <c r="F97" s="1"/>
      <c r="G97" s="11"/>
    </row>
    <row r="98" spans="1:7" ht="12.75" customHeight="1" x14ac:dyDescent="0.25">
      <c r="A98" s="2"/>
      <c r="B98" s="8"/>
      <c r="C98" s="1"/>
      <c r="D98" s="1"/>
      <c r="E98" s="1"/>
      <c r="F98" s="1"/>
      <c r="G98" s="11"/>
    </row>
    <row r="99" spans="1:7" ht="12.75" customHeight="1" x14ac:dyDescent="0.25">
      <c r="A99" s="2"/>
      <c r="B99" s="8"/>
      <c r="C99" s="1"/>
      <c r="D99" s="1"/>
      <c r="E99" s="1"/>
      <c r="F99" s="1"/>
      <c r="G99" s="11"/>
    </row>
    <row r="100" spans="1:7" ht="12.75" customHeight="1" x14ac:dyDescent="0.25">
      <c r="A100" s="2"/>
      <c r="B100" s="8"/>
      <c r="C100" s="53" t="s">
        <v>4</v>
      </c>
      <c r="D100" s="54"/>
      <c r="E100" s="38" t="s">
        <v>13</v>
      </c>
      <c r="F100" s="15" t="s">
        <v>5</v>
      </c>
      <c r="G100" s="11"/>
    </row>
    <row r="101" spans="1:7" ht="12.75" customHeight="1" x14ac:dyDescent="0.25">
      <c r="A101" s="2"/>
      <c r="B101" s="8"/>
      <c r="C101" s="51" t="str">
        <f>[1]Sheet1!C1</f>
        <v>Energia Elétrica</v>
      </c>
      <c r="D101" s="52"/>
      <c r="E101" s="41" t="str">
        <f>[1]Sheet1!L6</f>
        <v>mai/2022</v>
      </c>
      <c r="F101" s="45">
        <f>[1]Sheet1!C6</f>
        <v>27</v>
      </c>
      <c r="G101" s="11"/>
    </row>
    <row r="102" spans="1:7" ht="12.75" customHeight="1" x14ac:dyDescent="0.25">
      <c r="A102" s="2"/>
      <c r="B102" s="8"/>
      <c r="C102" s="51" t="str">
        <f>[1]Sheet1!D1</f>
        <v>Manutenção Telhado e limpeza Calhas</v>
      </c>
      <c r="D102" s="52"/>
      <c r="E102" s="42" t="str">
        <f>[1]Sheet1!L6</f>
        <v>mai/2022</v>
      </c>
      <c r="F102" s="46">
        <f>[1]Sheet1!D6</f>
        <v>58</v>
      </c>
      <c r="G102" s="11"/>
    </row>
    <row r="103" spans="1:7" ht="12.75" hidden="1" customHeight="1" x14ac:dyDescent="0.25">
      <c r="A103" s="2"/>
      <c r="B103" s="8"/>
      <c r="C103" s="51" t="str">
        <f>[1]Sheet1!E1</f>
        <v>Poda Àrvore</v>
      </c>
      <c r="D103" s="52"/>
      <c r="E103" s="42" t="str">
        <f>[1]Sheet1!L6</f>
        <v>mai/2022</v>
      </c>
      <c r="F103" s="47">
        <f>[1]Sheet1!E6</f>
        <v>0</v>
      </c>
      <c r="G103" s="11"/>
    </row>
    <row r="104" spans="1:7" ht="12.75" hidden="1" customHeight="1" x14ac:dyDescent="0.25">
      <c r="A104" s="2"/>
      <c r="B104" s="8"/>
      <c r="C104" s="51" t="str">
        <f>[1]Sheet1!F1</f>
        <v>Limpeza Caixa de Água</v>
      </c>
      <c r="D104" s="52"/>
      <c r="E104" s="42" t="str">
        <f>[1]Sheet1!L6</f>
        <v>mai/2022</v>
      </c>
      <c r="F104" s="48">
        <f>[1]Sheet1!F6</f>
        <v>0</v>
      </c>
      <c r="G104" s="11"/>
    </row>
    <row r="105" spans="1:7" ht="12.75" hidden="1" customHeight="1" x14ac:dyDescent="0.25">
      <c r="A105" s="2"/>
      <c r="B105" s="8"/>
      <c r="C105" s="51" t="str">
        <f>[1]Sheet1!G1</f>
        <v>Limpeza Cisterna</v>
      </c>
      <c r="D105" s="52"/>
      <c r="E105" s="42" t="str">
        <f>[1]Sheet1!L6</f>
        <v>mai/2022</v>
      </c>
      <c r="F105" s="48">
        <f>[1]Sheet1!G6</f>
        <v>0</v>
      </c>
      <c r="G105" s="11"/>
    </row>
    <row r="106" spans="1:7" ht="12.75" customHeight="1" x14ac:dyDescent="0.25">
      <c r="A106" s="2"/>
      <c r="B106" s="8"/>
      <c r="C106" s="51" t="str">
        <f>[1]Sheet1!H1</f>
        <v>Copia de Chave</v>
      </c>
      <c r="D106" s="52"/>
      <c r="E106" s="42" t="str">
        <f>[1]Sheet1!L6</f>
        <v>mai/2022</v>
      </c>
      <c r="F106" s="48">
        <f>[1]Sheet1!H6</f>
        <v>9</v>
      </c>
      <c r="G106" s="11"/>
    </row>
    <row r="107" spans="1:7" ht="12.75" customHeight="1" x14ac:dyDescent="0.25">
      <c r="A107" s="2"/>
      <c r="B107" s="8"/>
      <c r="C107" s="51" t="str">
        <f>[1]Sheet1!I1</f>
        <v>Troca fechadura portão entrada</v>
      </c>
      <c r="D107" s="52"/>
      <c r="E107" s="42" t="str">
        <f>[1]Sheet1!L6</f>
        <v>mai/2022</v>
      </c>
      <c r="F107" s="48">
        <f>[1]Sheet1!I6</f>
        <v>7</v>
      </c>
      <c r="G107" s="11"/>
    </row>
    <row r="108" spans="1:7" ht="12.75" customHeight="1" x14ac:dyDescent="0.25">
      <c r="A108" s="2"/>
      <c r="B108" s="8"/>
      <c r="C108" s="56" t="str">
        <f>[1]Sheet1!J1</f>
        <v>3 cópias de chave adicional</v>
      </c>
      <c r="D108" s="57"/>
      <c r="E108" s="43" t="str">
        <f>[1]Sheet1!L6</f>
        <v>mai/2022</v>
      </c>
      <c r="F108" s="49">
        <f>[1]Sheet1!J6</f>
        <v>27</v>
      </c>
      <c r="G108" s="11"/>
    </row>
    <row r="109" spans="1:7" ht="12.75" customHeight="1" x14ac:dyDescent="0.25">
      <c r="A109" s="2"/>
      <c r="B109" s="8"/>
      <c r="C109" s="51" t="str">
        <f>[1]Sheet1!K1</f>
        <v>Saldo</v>
      </c>
      <c r="D109" s="52"/>
      <c r="E109" s="39"/>
      <c r="F109" s="48">
        <f>[1]Sheet1!K6</f>
        <v>-200</v>
      </c>
      <c r="G109" s="11"/>
    </row>
    <row r="110" spans="1:7" ht="12.75" customHeight="1" x14ac:dyDescent="0.25">
      <c r="A110" s="2"/>
      <c r="B110" s="8"/>
      <c r="C110" s="17"/>
      <c r="D110" s="18"/>
      <c r="E110" s="19" t="s">
        <v>6</v>
      </c>
      <c r="F110" s="20">
        <f>SUM(F101:F109)</f>
        <v>-72</v>
      </c>
      <c r="G110" s="11"/>
    </row>
    <row r="111" spans="1:7" ht="12.75" hidden="1" customHeight="1" x14ac:dyDescent="0.25">
      <c r="A111" s="2"/>
      <c r="B111" s="8"/>
      <c r="C111" s="17" t="s">
        <v>7</v>
      </c>
      <c r="D111" s="18"/>
      <c r="E111" s="19" t="s">
        <v>8</v>
      </c>
      <c r="F111" s="21">
        <v>0</v>
      </c>
      <c r="G111" s="11"/>
    </row>
    <row r="112" spans="1:7" ht="12.75" customHeight="1" x14ac:dyDescent="0.25">
      <c r="A112" s="2"/>
      <c r="B112" s="8"/>
      <c r="C112" s="2"/>
      <c r="D112" s="18"/>
      <c r="E112" s="19" t="s">
        <v>9</v>
      </c>
      <c r="F112" s="22"/>
      <c r="G112" s="11"/>
    </row>
    <row r="113" spans="1:7" ht="12.75" customHeight="1" thickBot="1" x14ac:dyDescent="0.3">
      <c r="A113" s="2"/>
      <c r="B113" s="8"/>
      <c r="C113" s="23"/>
      <c r="D113" s="18"/>
      <c r="E113" s="24" t="s">
        <v>10</v>
      </c>
      <c r="F113" s="25">
        <f>F110+F112</f>
        <v>-72</v>
      </c>
      <c r="G113" s="11"/>
    </row>
    <row r="114" spans="1:7" ht="12.75" customHeight="1" x14ac:dyDescent="0.25">
      <c r="A114" s="2"/>
      <c r="B114" s="8"/>
      <c r="C114" s="26" t="s">
        <v>19</v>
      </c>
      <c r="D114" s="1"/>
      <c r="E114" s="1"/>
      <c r="F114" s="1"/>
      <c r="G114" s="11"/>
    </row>
    <row r="115" spans="1:7" ht="12.75" customHeight="1" x14ac:dyDescent="0.25">
      <c r="A115" s="2"/>
      <c r="B115" s="8"/>
      <c r="C115" s="2"/>
      <c r="D115" s="2"/>
      <c r="E115" s="2"/>
      <c r="F115" s="2"/>
      <c r="G115" s="11"/>
    </row>
    <row r="116" spans="1:7" ht="12.75" customHeight="1" thickBot="1" x14ac:dyDescent="0.3">
      <c r="A116" s="2"/>
      <c r="B116" s="27"/>
      <c r="C116" s="28"/>
      <c r="D116" s="28"/>
      <c r="E116" s="28"/>
      <c r="F116" s="28"/>
      <c r="G116" s="29"/>
    </row>
    <row r="117" spans="1:7" ht="15.75" thickBot="1" x14ac:dyDescent="0.3"/>
    <row r="118" spans="1:7" ht="45.75" customHeight="1" x14ac:dyDescent="0.8">
      <c r="A118" s="2"/>
      <c r="B118" s="3"/>
      <c r="C118" s="4" t="s">
        <v>0</v>
      </c>
      <c r="D118" s="5"/>
      <c r="E118" s="5"/>
      <c r="F118" s="6" t="s">
        <v>15</v>
      </c>
      <c r="G118" s="7"/>
    </row>
    <row r="119" spans="1:7" ht="12.75" customHeight="1" x14ac:dyDescent="0.45">
      <c r="A119" s="2"/>
      <c r="B119" s="8"/>
      <c r="C119" s="9"/>
      <c r="D119" s="1"/>
      <c r="E119" s="1"/>
      <c r="F119" s="10"/>
      <c r="G119" s="11"/>
    </row>
    <row r="120" spans="1:7" ht="15.75" customHeight="1" x14ac:dyDescent="0.25">
      <c r="A120" s="2"/>
      <c r="B120" s="8"/>
      <c r="C120" s="1" t="s">
        <v>16</v>
      </c>
      <c r="D120" s="1"/>
      <c r="E120" s="12" t="s">
        <v>1</v>
      </c>
      <c r="F120" s="13">
        <f ca="1">TODAY()</f>
        <v>44710</v>
      </c>
      <c r="G120" s="11"/>
    </row>
    <row r="121" spans="1:7" ht="12.75" customHeight="1" x14ac:dyDescent="0.25">
      <c r="A121" s="2"/>
      <c r="B121" s="8"/>
      <c r="C121" s="1" t="s">
        <v>17</v>
      </c>
      <c r="D121" s="1"/>
      <c r="E121" s="12" t="s">
        <v>2</v>
      </c>
      <c r="F121" s="37" t="str">
        <f>[1]Sheet1!L7</f>
        <v>mai/2022</v>
      </c>
      <c r="G121" s="11"/>
    </row>
    <row r="122" spans="1:7" ht="12.75" customHeight="1" x14ac:dyDescent="0.25">
      <c r="A122" s="2"/>
      <c r="B122" s="8"/>
      <c r="C122" s="1" t="s">
        <v>18</v>
      </c>
      <c r="D122" s="1"/>
      <c r="E122" s="12" t="s">
        <v>12</v>
      </c>
      <c r="F122" s="36">
        <f>[1]Sheet1!M7</f>
        <v>6</v>
      </c>
      <c r="G122" s="11"/>
    </row>
    <row r="123" spans="1:7" ht="12.75" customHeight="1" x14ac:dyDescent="0.25">
      <c r="A123" s="2"/>
      <c r="B123" s="8"/>
      <c r="C123" s="1"/>
      <c r="D123" s="1"/>
      <c r="E123" s="12"/>
      <c r="F123" s="13"/>
      <c r="G123" s="11"/>
    </row>
    <row r="124" spans="1:7" ht="12.75" customHeight="1" x14ac:dyDescent="0.25">
      <c r="A124" s="2"/>
      <c r="B124" s="8"/>
      <c r="C124" s="1"/>
      <c r="D124" s="1"/>
      <c r="E124" s="1"/>
      <c r="F124" s="1"/>
      <c r="G124" s="11"/>
    </row>
    <row r="125" spans="1:7" ht="12.75" customHeight="1" x14ac:dyDescent="0.25">
      <c r="A125" s="2"/>
      <c r="B125" s="8"/>
      <c r="C125" s="32" t="s">
        <v>11</v>
      </c>
      <c r="D125" s="14"/>
      <c r="E125" s="30" t="s">
        <v>3</v>
      </c>
      <c r="F125" s="1"/>
      <c r="G125" s="11"/>
    </row>
    <row r="126" spans="1:7" ht="12.75" customHeight="1" x14ac:dyDescent="0.25">
      <c r="A126" s="2"/>
      <c r="B126" s="8"/>
      <c r="C126" s="35" t="str">
        <f>[1]Sheet1!B7</f>
        <v>Pateta</v>
      </c>
      <c r="D126" s="33"/>
      <c r="E126" s="34" t="s">
        <v>14</v>
      </c>
      <c r="F126" s="1"/>
      <c r="G126" s="11"/>
    </row>
    <row r="127" spans="1:7" ht="12.75" customHeight="1" x14ac:dyDescent="0.25">
      <c r="A127" s="2"/>
      <c r="B127" s="8"/>
      <c r="C127" s="1"/>
      <c r="D127" s="1"/>
      <c r="E127" s="1"/>
      <c r="F127" s="1"/>
      <c r="G127" s="11"/>
    </row>
    <row r="128" spans="1:7" ht="12.75" customHeight="1" x14ac:dyDescent="0.25">
      <c r="A128" s="2"/>
      <c r="B128" s="8"/>
      <c r="C128" s="1"/>
      <c r="D128" s="1"/>
      <c r="E128" s="1"/>
      <c r="F128" s="1"/>
      <c r="G128" s="11"/>
    </row>
    <row r="129" spans="1:7" ht="12.75" customHeight="1" x14ac:dyDescent="0.25">
      <c r="A129" s="2"/>
      <c r="B129" s="8"/>
      <c r="C129" s="53" t="s">
        <v>4</v>
      </c>
      <c r="D129" s="54"/>
      <c r="E129" s="16" t="s">
        <v>13</v>
      </c>
      <c r="F129" s="15" t="s">
        <v>5</v>
      </c>
      <c r="G129" s="11"/>
    </row>
    <row r="130" spans="1:7" ht="12.75" customHeight="1" x14ac:dyDescent="0.25">
      <c r="A130" s="2"/>
      <c r="B130" s="8"/>
      <c r="C130" s="51" t="str">
        <f>[1]Sheet1!C1</f>
        <v>Energia Elétrica</v>
      </c>
      <c r="D130" s="52"/>
      <c r="E130" s="41" t="str">
        <f>[1]Sheet1!L7</f>
        <v>mai/2022</v>
      </c>
      <c r="F130" s="45">
        <f>[1]Sheet1!C7</f>
        <v>27</v>
      </c>
      <c r="G130" s="11"/>
    </row>
    <row r="131" spans="1:7" ht="12.75" customHeight="1" x14ac:dyDescent="0.25">
      <c r="A131" s="2"/>
      <c r="B131" s="8"/>
      <c r="C131" s="51" t="str">
        <f>[1]Sheet1!D1</f>
        <v>Manutenção Telhado e limpeza Calhas</v>
      </c>
      <c r="D131" s="52"/>
      <c r="E131" s="42" t="str">
        <f>[1]Sheet1!L7</f>
        <v>mai/2022</v>
      </c>
      <c r="F131" s="46">
        <f>[1]Sheet1!D7</f>
        <v>58</v>
      </c>
      <c r="G131" s="11"/>
    </row>
    <row r="132" spans="1:7" ht="12.75" hidden="1" customHeight="1" x14ac:dyDescent="0.25">
      <c r="A132" s="2"/>
      <c r="B132" s="8"/>
      <c r="C132" s="51" t="str">
        <f>[1]Sheet1!E1</f>
        <v>Poda Àrvore</v>
      </c>
      <c r="D132" s="52"/>
      <c r="E132" s="42" t="str">
        <f>[1]Sheet1!L7</f>
        <v>mai/2022</v>
      </c>
      <c r="F132" s="47">
        <f>[1]Sheet1!E7</f>
        <v>0</v>
      </c>
      <c r="G132" s="11"/>
    </row>
    <row r="133" spans="1:7" ht="12.75" hidden="1" customHeight="1" x14ac:dyDescent="0.25">
      <c r="A133" s="2"/>
      <c r="B133" s="8"/>
      <c r="C133" s="51" t="str">
        <f>[1]Sheet1!F1</f>
        <v>Limpeza Caixa de Água</v>
      </c>
      <c r="D133" s="52"/>
      <c r="E133" s="42" t="str">
        <f>[1]Sheet1!L7</f>
        <v>mai/2022</v>
      </c>
      <c r="F133" s="48">
        <f>[1]Sheet1!F7</f>
        <v>0</v>
      </c>
      <c r="G133" s="11"/>
    </row>
    <row r="134" spans="1:7" ht="12.75" hidden="1" customHeight="1" x14ac:dyDescent="0.25">
      <c r="A134" s="2"/>
      <c r="B134" s="8"/>
      <c r="C134" s="51" t="str">
        <f>[1]Sheet1!G1</f>
        <v>Limpeza Cisterna</v>
      </c>
      <c r="D134" s="52"/>
      <c r="E134" s="42" t="str">
        <f>[1]Sheet1!L7</f>
        <v>mai/2022</v>
      </c>
      <c r="F134" s="48">
        <f>[1]Sheet1!G7</f>
        <v>0</v>
      </c>
      <c r="G134" s="11"/>
    </row>
    <row r="135" spans="1:7" ht="12.75" customHeight="1" x14ac:dyDescent="0.25">
      <c r="A135" s="2"/>
      <c r="B135" s="8"/>
      <c r="C135" s="51" t="str">
        <f>[1]Sheet1!H1</f>
        <v>Copia de Chave</v>
      </c>
      <c r="D135" s="52"/>
      <c r="E135" s="42" t="str">
        <f>[1]Sheet1!L7</f>
        <v>mai/2022</v>
      </c>
      <c r="F135" s="48">
        <f>[1]Sheet1!H7</f>
        <v>9</v>
      </c>
      <c r="G135" s="11"/>
    </row>
    <row r="136" spans="1:7" ht="12.75" customHeight="1" x14ac:dyDescent="0.25">
      <c r="A136" s="2"/>
      <c r="B136" s="8"/>
      <c r="C136" s="51" t="str">
        <f>[1]Sheet1!I1</f>
        <v>Troca fechadura portão entrada</v>
      </c>
      <c r="D136" s="52"/>
      <c r="E136" s="42" t="str">
        <f>[1]Sheet1!L7</f>
        <v>mai/2022</v>
      </c>
      <c r="F136" s="48">
        <f>[1]Sheet1!I7</f>
        <v>7</v>
      </c>
      <c r="G136" s="11"/>
    </row>
    <row r="137" spans="1:7" ht="12.75" hidden="1" customHeight="1" x14ac:dyDescent="0.25">
      <c r="A137" s="2"/>
      <c r="B137" s="8"/>
      <c r="C137" s="55" t="str">
        <f>[1]Sheet1!J1</f>
        <v>3 cópias de chave adicional</v>
      </c>
      <c r="D137" s="55"/>
      <c r="E137" s="42" t="str">
        <f>[1]Sheet1!L7</f>
        <v>mai/2022</v>
      </c>
      <c r="F137" s="48">
        <f>[1]Sheet1!J7</f>
        <v>0</v>
      </c>
      <c r="G137" s="11"/>
    </row>
    <row r="138" spans="1:7" ht="12.75" hidden="1" customHeight="1" x14ac:dyDescent="0.25">
      <c r="A138" s="2"/>
      <c r="B138" s="8"/>
      <c r="C138" s="51" t="str">
        <f>[1]Sheet1!K1</f>
        <v>Saldo</v>
      </c>
      <c r="D138" s="52"/>
      <c r="E138" s="39"/>
      <c r="F138" s="48">
        <f>[1]Sheet1!K7</f>
        <v>0</v>
      </c>
      <c r="G138" s="11"/>
    </row>
    <row r="139" spans="1:7" ht="12.75" customHeight="1" x14ac:dyDescent="0.25">
      <c r="A139" s="2"/>
      <c r="B139" s="8"/>
      <c r="C139" s="17"/>
      <c r="D139" s="18"/>
      <c r="E139" s="19" t="s">
        <v>6</v>
      </c>
      <c r="F139" s="20">
        <f>SUM(F130:F138)</f>
        <v>101</v>
      </c>
      <c r="G139" s="11"/>
    </row>
    <row r="140" spans="1:7" ht="12.75" customHeight="1" x14ac:dyDescent="0.25">
      <c r="A140" s="2"/>
      <c r="B140" s="8"/>
      <c r="C140" s="17" t="s">
        <v>7</v>
      </c>
      <c r="D140" s="18"/>
      <c r="E140" s="19" t="s">
        <v>8</v>
      </c>
      <c r="F140" s="21">
        <v>0</v>
      </c>
      <c r="G140" s="11"/>
    </row>
    <row r="141" spans="1:7" ht="12.75" customHeight="1" x14ac:dyDescent="0.25">
      <c r="A141" s="2"/>
      <c r="B141" s="8"/>
      <c r="C141" s="2"/>
      <c r="D141" s="18"/>
      <c r="E141" s="19" t="s">
        <v>9</v>
      </c>
      <c r="F141" s="22"/>
      <c r="G141" s="11"/>
    </row>
    <row r="142" spans="1:7" ht="12.75" customHeight="1" thickBot="1" x14ac:dyDescent="0.3">
      <c r="A142" s="2"/>
      <c r="B142" s="8"/>
      <c r="C142" s="23"/>
      <c r="D142" s="18"/>
      <c r="E142" s="24" t="s">
        <v>10</v>
      </c>
      <c r="F142" s="25">
        <f>F139+F141</f>
        <v>101</v>
      </c>
      <c r="G142" s="11"/>
    </row>
    <row r="143" spans="1:7" ht="12.75" customHeight="1" x14ac:dyDescent="0.25">
      <c r="A143" s="2"/>
      <c r="B143" s="8"/>
      <c r="C143" s="26" t="s">
        <v>19</v>
      </c>
      <c r="D143" s="1"/>
      <c r="E143" s="1"/>
      <c r="F143" s="1"/>
      <c r="G143" s="11"/>
    </row>
    <row r="144" spans="1:7" ht="12.75" customHeight="1" x14ac:dyDescent="0.25">
      <c r="A144" s="2"/>
      <c r="B144" s="8"/>
      <c r="C144" s="2"/>
      <c r="D144" s="2"/>
      <c r="E144" s="2"/>
      <c r="F144" s="2"/>
      <c r="G144" s="11"/>
    </row>
    <row r="145" spans="1:7" ht="12.75" customHeight="1" thickBot="1" x14ac:dyDescent="0.3">
      <c r="A145" s="2"/>
      <c r="B145" s="27"/>
      <c r="C145" s="28"/>
      <c r="D145" s="28"/>
      <c r="E145" s="28"/>
      <c r="F145" s="28"/>
      <c r="G145" s="29"/>
    </row>
  </sheetData>
  <mergeCells count="50">
    <mergeCell ref="C13:D13"/>
    <mergeCell ref="C14:D14"/>
    <mergeCell ref="C15:D15"/>
    <mergeCell ref="C16:D16"/>
    <mergeCell ref="C17:D17"/>
    <mergeCell ref="C49:D49"/>
    <mergeCell ref="C50:D50"/>
    <mergeCell ref="C71:D71"/>
    <mergeCell ref="C51:D51"/>
    <mergeCell ref="C18:D18"/>
    <mergeCell ref="C44:D44"/>
    <mergeCell ref="C45:D45"/>
    <mergeCell ref="C46:D46"/>
    <mergeCell ref="C47:D47"/>
    <mergeCell ref="C48:D48"/>
    <mergeCell ref="C19:D19"/>
    <mergeCell ref="C20:D20"/>
    <mergeCell ref="C21:D21"/>
    <mergeCell ref="C22:D22"/>
    <mergeCell ref="C43:D43"/>
    <mergeCell ref="C42:D42"/>
    <mergeCell ref="C72:D72"/>
    <mergeCell ref="C106:D106"/>
    <mergeCell ref="C80:D80"/>
    <mergeCell ref="C107:D107"/>
    <mergeCell ref="C108:D108"/>
    <mergeCell ref="C76:D76"/>
    <mergeCell ref="C77:D77"/>
    <mergeCell ref="C78:D78"/>
    <mergeCell ref="C79:D79"/>
    <mergeCell ref="C74:D74"/>
    <mergeCell ref="C75:D75"/>
    <mergeCell ref="C73:D73"/>
    <mergeCell ref="C109:D109"/>
    <mergeCell ref="C100:D100"/>
    <mergeCell ref="C101:D101"/>
    <mergeCell ref="C102:D102"/>
    <mergeCell ref="C103:D103"/>
    <mergeCell ref="C104:D104"/>
    <mergeCell ref="C105:D105"/>
    <mergeCell ref="C138:D138"/>
    <mergeCell ref="C129:D129"/>
    <mergeCell ref="C132:D132"/>
    <mergeCell ref="C133:D133"/>
    <mergeCell ref="C134:D134"/>
    <mergeCell ref="C135:D135"/>
    <mergeCell ref="C136:D136"/>
    <mergeCell ref="C137:D137"/>
    <mergeCell ref="C131:D131"/>
    <mergeCell ref="C130:D1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Faturas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2022-05-11T03:13:17Z</dcterms:created>
  <dcterms:modified xsi:type="dcterms:W3CDTF">2022-05-30T00:55:06Z</dcterms:modified>
</cp:coreProperties>
</file>